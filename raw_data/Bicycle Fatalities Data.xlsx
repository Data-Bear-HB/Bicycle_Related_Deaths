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bicycle data" sheetId="1" r:id="rId4"/>
    <sheet state="visible" name="Proportional charts" sheetId="2" r:id="rId5"/>
  </sheets>
  <definedNames/>
  <calcPr/>
</workbook>
</file>

<file path=xl/sharedStrings.xml><?xml version="1.0" encoding="utf-8"?>
<sst xmlns="http://schemas.openxmlformats.org/spreadsheetml/2006/main" count="53" uniqueCount="53">
  <si>
    <t>Totals</t>
  </si>
  <si>
    <t>Averages (total/n)</t>
  </si>
  <si>
    <t xml:space="preserve">Oregon </t>
  </si>
  <si>
    <t>Washington</t>
  </si>
  <si>
    <t>United States</t>
  </si>
  <si>
    <t>n/a</t>
  </si>
  <si>
    <t>Average/Mean of Pedacyclist Deaths per State: (total US deaths for one year/ 50 states) =</t>
  </si>
  <si>
    <t>Population of Oregon</t>
  </si>
  <si>
    <t>Population of Washington</t>
  </si>
  <si>
    <t>Population of the United States</t>
  </si>
  <si>
    <t>Bicyclist Fatalities by ratio</t>
  </si>
  <si>
    <t>Average Ratio of fatalities for 2014-2023</t>
  </si>
  <si>
    <t>% of Fatalities Oregon</t>
  </si>
  <si>
    <t>1/567,177</t>
  </si>
  <si>
    <t>1/503,622</t>
  </si>
  <si>
    <t>1/409,346</t>
  </si>
  <si>
    <t>1/414,278</t>
  </si>
  <si>
    <t>1/465,635</t>
  </si>
  <si>
    <t>1/319,256</t>
  </si>
  <si>
    <t>1/ 302,661</t>
  </si>
  <si>
    <t>1/ 235,897</t>
  </si>
  <si>
    <t>1/ 353,344</t>
  </si>
  <si>
    <t>1/ 249,032</t>
  </si>
  <si>
    <t>1/ 381,125</t>
  </si>
  <si>
    <t>% of Fatalities Washington</t>
  </si>
  <si>
    <t>1/ 1,176,921</t>
  </si>
  <si>
    <t>1/ 512,167</t>
  </si>
  <si>
    <t>1/ 428,706</t>
  </si>
  <si>
    <t>1/ 493,716</t>
  </si>
  <si>
    <t>1/ 470,974</t>
  </si>
  <si>
    <t>1/ 747,171</t>
  </si>
  <si>
    <t>1/ 592,714</t>
  </si>
  <si>
    <t>1/ 552,763</t>
  </si>
  <si>
    <t>1/ 707,798</t>
  </si>
  <si>
    <t>1/ 434,048</t>
  </si>
  <si>
    <t>1/ 611,698</t>
  </si>
  <si>
    <t>% of Fatalities United States</t>
  </si>
  <si>
    <t>1/437,390</t>
  </si>
  <si>
    <t>1/387,719</t>
  </si>
  <si>
    <t>1/378,813</t>
  </si>
  <si>
    <t>1/404,118</t>
  </si>
  <si>
    <t>1/ 375,622</t>
  </si>
  <si>
    <t>1/ 359,424</t>
  </si>
  <si>
    <t>1/ 344,482</t>
  </si>
  <si>
    <t>1/340,055</t>
  </si>
  <si>
    <t>1/301,618</t>
  </si>
  <si>
    <t>??</t>
  </si>
  <si>
    <t>1/ 370,915</t>
  </si>
  <si>
    <t>Bicyclist Fatalities out of One Million People</t>
  </si>
  <si>
    <t>Avg. 2014-2023</t>
  </si>
  <si>
    <t>Fatalities Oregon</t>
  </si>
  <si>
    <t>Fatalities Washington</t>
  </si>
  <si>
    <t>Fatalities 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</si>
</sst>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  <font>
      <sz val="12.0"/>
      <color rgb="FF000000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DEE8E3"/>
        <bgColor rgb="FFDEE8E3"/>
      </patternFill>
    </fill>
    <fill>
      <patternFill patternType="solid">
        <fgColor rgb="FFC6E0D3"/>
        <bgColor rgb="FFC6E0D3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4" fillId="3" fontId="1" numFmtId="0" xfId="0" applyAlignment="1" applyBorder="1" applyFill="1" applyFont="1">
      <alignment readingOrder="0"/>
    </xf>
    <xf borderId="5" fillId="0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9" fillId="0" fontId="1" numFmtId="3" xfId="0" applyAlignment="1" applyBorder="1" applyFont="1" applyNumberFormat="1">
      <alignment readingOrder="0"/>
    </xf>
    <xf borderId="10" fillId="3" fontId="1" numFmtId="0" xfId="0" applyAlignment="1" applyBorder="1" applyFont="1">
      <alignment readingOrder="0"/>
    </xf>
    <xf borderId="6" fillId="4" fontId="1" numFmtId="0" xfId="0" applyAlignment="1" applyBorder="1" applyFill="1" applyFont="1">
      <alignment readingOrder="0" shrinkToFit="0" wrapText="1"/>
    </xf>
    <xf borderId="6" fillId="4" fontId="1" numFmtId="0" xfId="0" applyAlignment="1" applyBorder="1" applyFont="1">
      <alignment readingOrder="0"/>
    </xf>
    <xf borderId="3" fillId="0" fontId="2" numFmtId="3" xfId="0" applyAlignment="1" applyBorder="1" applyFont="1" applyNumberFormat="1">
      <alignment readingOrder="0"/>
    </xf>
    <xf borderId="3" fillId="0" fontId="1" numFmtId="3" xfId="0" applyAlignment="1" applyBorder="1" applyFont="1" applyNumberFormat="1">
      <alignment readingOrder="0"/>
    </xf>
    <xf borderId="3" fillId="2" fontId="1" numFmtId="3" xfId="0" applyAlignment="1" applyBorder="1" applyFont="1" applyNumberFormat="1">
      <alignment readingOrder="0"/>
    </xf>
    <xf borderId="4" fillId="5" fontId="1" numFmtId="0" xfId="0" applyBorder="1" applyFill="1" applyFont="1"/>
    <xf borderId="6" fillId="2" fontId="3" numFmtId="3" xfId="0" applyAlignment="1" applyBorder="1" applyFont="1" applyNumberFormat="1">
      <alignment readingOrder="0"/>
    </xf>
    <xf borderId="6" fillId="0" fontId="1" numFmtId="3" xfId="0" applyAlignment="1" applyBorder="1" applyFont="1" applyNumberFormat="1">
      <alignment readingOrder="0"/>
    </xf>
    <xf borderId="6" fillId="2" fontId="1" numFmtId="3" xfId="0" applyAlignment="1" applyBorder="1" applyFont="1" applyNumberFormat="1">
      <alignment readingOrder="0"/>
    </xf>
    <xf borderId="7" fillId="5" fontId="1" numFmtId="0" xfId="0" applyBorder="1" applyFont="1"/>
    <xf borderId="11" fillId="0" fontId="1" numFmtId="0" xfId="0" applyAlignment="1" applyBorder="1" applyFont="1">
      <alignment readingOrder="0"/>
    </xf>
    <xf borderId="9" fillId="2" fontId="1" numFmtId="3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0" fillId="6" fontId="1" numFmtId="0" xfId="0" applyBorder="1" applyFill="1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2" fillId="0" fontId="1" numFmtId="0" xfId="0" applyBorder="1" applyFont="1"/>
    <xf borderId="1" fillId="3" fontId="1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1" fillId="3" fontId="3" numFmtId="1" xfId="0" applyAlignment="1" applyBorder="1" applyFont="1" applyNumberFormat="1">
      <alignment readingOrder="0" shrinkToFit="0" wrapText="1"/>
    </xf>
    <xf borderId="1" fillId="3" fontId="1" numFmtId="1" xfId="0" applyAlignment="1" applyBorder="1" applyFont="1" applyNumberFormat="1">
      <alignment readingOrder="0"/>
    </xf>
    <xf borderId="1" fillId="3" fontId="1" numFmtId="1" xfId="0" applyAlignment="1" applyBorder="1" applyFont="1" applyNumberFormat="1">
      <alignment readingOrder="0" shrinkToFit="0" wrapText="1"/>
    </xf>
    <xf borderId="0" fillId="0" fontId="1" numFmtId="1" xfId="0" applyFont="1" applyNumberFormat="1"/>
    <xf borderId="6" fillId="0" fontId="3" numFmtId="164" xfId="0" applyAlignment="1" applyBorder="1" applyFont="1" applyNumberFormat="1">
      <alignment readingOrder="0"/>
    </xf>
    <xf borderId="6" fillId="4" fontId="3" numFmtId="164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 shrinkToFit="0" wrapText="0"/>
    </xf>
    <xf borderId="6" fillId="7" fontId="1" numFmtId="164" xfId="0" applyAlignment="1" applyBorder="1" applyFill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Garamond"/>
              </a:defRPr>
            </a:pPr>
            <a:r>
              <a:rPr b="1" sz="3000">
                <a:solidFill>
                  <a:srgbClr val="000000"/>
                </a:solidFill>
                <a:latin typeface="Garamond"/>
              </a:rPr>
              <a:t>Bicycle Deaths in Oregon and Washington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>
        <c:manualLayout>
          <c:xMode val="edge"/>
          <c:yMode val="edge"/>
          <c:x val="0.12967101985876753"/>
          <c:y val="0.2678507194244604"/>
          <c:w val="0.8394123134745658"/>
          <c:h val="0.525314748201439"/>
        </c:manualLayout>
      </c:layout>
      <c:bar3DChart>
        <c:barDir val="col"/>
        <c:grouping val="clustered"/>
        <c:ser>
          <c:idx val="0"/>
          <c:order val="0"/>
          <c:tx>
            <c:strRef>
              <c:f>'All bicycle data'!$A$3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'All bicycle data'!$B$2:$K$2</c:f>
            </c:strRef>
          </c:cat>
          <c:val>
            <c:numRef>
              <c:f>'All bicycle data'!$B$3:$K$3</c:f>
              <c:numCache/>
            </c:numRef>
          </c:val>
        </c:ser>
        <c:ser>
          <c:idx val="1"/>
          <c:order val="1"/>
          <c:tx>
            <c:strRef>
              <c:f>'All bicycle data'!$A$4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'All bicycle data'!$B$2:$K$2</c:f>
            </c:strRef>
          </c:cat>
          <c:val>
            <c:numRef>
              <c:f>'All bicycle data'!$B$4:$K$4</c:f>
              <c:numCache/>
            </c:numRef>
          </c:val>
        </c:ser>
        <c:axId val="607466580"/>
        <c:axId val="222960635"/>
      </c:bar3DChart>
      <c:catAx>
        <c:axId val="60746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800">
                    <a:solidFill>
                      <a:srgbClr val="000000"/>
                    </a:solidFill>
                    <a:latin typeface="Garamond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2960635"/>
      </c:catAx>
      <c:valAx>
        <c:axId val="222960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800">
                    <a:solidFill>
                      <a:srgbClr val="000000"/>
                    </a:solidFill>
                    <a:latin typeface="Garamond"/>
                  </a:rPr>
                  <a:t>Exact # of Bicycle Deaths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466580"/>
      </c:valAx>
    </c:plotArea>
    <c:legend>
      <c:legendPos val="t"/>
      <c:legendEntry>
        <c:idx val="1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200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DEE8E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Garamond"/>
              </a:defRPr>
            </a:pPr>
            <a:r>
              <a:rPr b="1" sz="3000">
                <a:solidFill>
                  <a:srgbClr val="000000"/>
                </a:solidFill>
                <a:latin typeface="Garamond"/>
              </a:rPr>
              <a:t>Population of the United States 2014-2023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B7E1CD"/>
            </a:solidFill>
            <a:ln cmpd="sng">
              <a:solidFill>
                <a:srgbClr val="000000"/>
              </a:solidFill>
            </a:ln>
          </c:spPr>
          <c:cat>
            <c:strRef>
              <c:f>'All bicycle data'!$B$2:$K$2</c:f>
            </c:strRef>
          </c:cat>
          <c:val>
            <c:numRef>
              <c:f>'All bicycle data'!$B$10:$K$10</c:f>
              <c:numCache/>
            </c:numRef>
          </c:val>
        </c:ser>
        <c:axId val="1994225998"/>
        <c:axId val="456825352"/>
      </c:bar3DChart>
      <c:catAx>
        <c:axId val="1994225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825352"/>
      </c:catAx>
      <c:valAx>
        <c:axId val="456825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of the United States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994225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EFEFE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300">
                <a:solidFill>
                  <a:schemeClr val="dk1"/>
                </a:solidFill>
                <a:latin typeface="Garamond"/>
              </a:defRPr>
            </a:pPr>
            <a:r>
              <a:rPr b="1" sz="2300">
                <a:solidFill>
                  <a:schemeClr val="dk1"/>
                </a:solidFill>
                <a:latin typeface="Garamond"/>
              </a:rPr>
              <a:t>United States Pedacyclist Fatalities from 2014 to 2022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4C113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'All bicycle data'!$A$12:$J$12</c:f>
            </c:strRef>
          </c:cat>
          <c:val>
            <c:numRef>
              <c:f>'All bicycle data'!$A$5:$J$5</c:f>
              <c:numCache/>
            </c:numRef>
          </c:val>
        </c:ser>
        <c:axId val="304406684"/>
        <c:axId val="1108293717"/>
      </c:bar3DChart>
      <c:catAx>
        <c:axId val="304406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Garamond"/>
              </a:defRPr>
            </a:pPr>
          </a:p>
        </c:txPr>
        <c:crossAx val="1108293717"/>
      </c:catAx>
      <c:valAx>
        <c:axId val="1108293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aramond"/>
                  </a:rPr>
                  <a:t># of Fatalities per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aramond"/>
              </a:defRPr>
            </a:pPr>
          </a:p>
        </c:txPr>
        <c:crossAx val="304406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E9F0E7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Garamond"/>
              </a:defRPr>
            </a:pPr>
            <a:r>
              <a:rPr b="1" sz="3000">
                <a:solidFill>
                  <a:srgbClr val="000000"/>
                </a:solidFill>
                <a:latin typeface="Garamond"/>
              </a:rPr>
              <a:t>Average Bicycle Deaths Per State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Bicycle Deaths National Average</c:v>
          </c:tx>
          <c:spPr>
            <a:solidFill>
              <a:srgbClr val="A64D79">
                <a:alpha val="70196"/>
              </a:srgbClr>
            </a:solidFill>
            <a:ln cmpd="sng">
              <a:solidFill>
                <a:srgbClr val="FF00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Garamond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Pedacyclist Deaths Increasing Over Time</c:name>
            <c:spPr>
              <a:ln w="38100">
                <a:solidFill>
                  <a:srgbClr val="20124D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'All bicycle data'!$B$2:$J$2</c:f>
            </c:strRef>
          </c:cat>
          <c:val>
            <c:numRef>
              <c:f>'All bicycle data'!$B$6:$L$6</c:f>
              <c:numCache/>
            </c:numRef>
          </c:val>
        </c:ser>
        <c:axId val="691176685"/>
        <c:axId val="390608147"/>
      </c:bar3DChart>
      <c:catAx>
        <c:axId val="691176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800">
                    <a:solidFill>
                      <a:srgbClr val="000000"/>
                    </a:solidFill>
                    <a:latin typeface="Garamond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608147"/>
      </c:catAx>
      <c:valAx>
        <c:axId val="390608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800">
                    <a:solidFill>
                      <a:srgbClr val="000000"/>
                    </a:solidFill>
                    <a:latin typeface="Garamond"/>
                  </a:rPr>
                  <a:t>Avg. # of Deaths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17668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aramond"/>
            </a:defRPr>
          </a:pPr>
        </a:p>
      </c:txPr>
    </c:legend>
    <c:plotVisOnly val="1"/>
  </c:chart>
  <c:spPr>
    <a:solidFill>
      <a:srgbClr val="CFE2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000000"/>
                </a:solidFill>
                <a:latin typeface="Garamond"/>
              </a:defRPr>
            </a:pPr>
            <a:r>
              <a:rPr b="0" sz="2400">
                <a:solidFill>
                  <a:srgbClr val="000000"/>
                </a:solidFill>
                <a:latin typeface="Garamond"/>
              </a:rPr>
              <a:t>Bicyclist Fatality Rate: Oregon, Washington, United States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Oregon</c:v>
          </c:tx>
          <c:spPr>
            <a:solidFill>
              <a:srgbClr val="8E7CC3"/>
            </a:solidFill>
            <a:ln cmpd="sng">
              <a:solidFill>
                <a:srgbClr val="303134">
                  <a:alpha val="100000"/>
                </a:srgbClr>
              </a:solidFill>
            </a:ln>
          </c:spPr>
          <c:dLbls>
            <c:numFmt formatCode="0.0" sourceLinked="0"/>
            <c:txPr>
              <a:bodyPr/>
              <a:lstStyle/>
              <a:p>
                <a:pPr lvl="0">
                  <a:defRPr>
                    <a:solidFill>
                      <a:srgbClr val="20124D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'Proportional charts'!$B$1:$L$1</c:f>
            </c:strRef>
          </c:cat>
          <c:val>
            <c:numRef>
              <c:f>'Proportional charts'!$B$2:$L$2</c:f>
              <c:numCache/>
            </c:numRef>
          </c:val>
        </c:ser>
        <c:ser>
          <c:idx val="1"/>
          <c:order val="1"/>
          <c:tx>
            <c:v>Washington</c:v>
          </c:tx>
          <c:spPr>
            <a:solidFill>
              <a:srgbClr val="38761D"/>
            </a:solidFill>
            <a:ln cmpd="sng">
              <a:solidFill>
                <a:srgbClr val="303134">
                  <a:alpha val="100000"/>
                </a:srgbClr>
              </a:solidFill>
            </a:ln>
          </c:spPr>
          <c:dLbls>
            <c:numFmt formatCode="0.0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'Proportional charts'!$B$1:$L$1</c:f>
            </c:strRef>
          </c:cat>
          <c:val>
            <c:numRef>
              <c:f>'Proportional charts'!$B$3:$L$3</c:f>
              <c:numCache/>
            </c:numRef>
          </c:val>
        </c:ser>
        <c:ser>
          <c:idx val="2"/>
          <c:order val="2"/>
          <c:tx>
            <c:v>United States</c:v>
          </c:tx>
          <c:spPr>
            <a:solidFill>
              <a:srgbClr val="F4CCCC"/>
            </a:solidFill>
            <a:ln cmpd="sng">
              <a:solidFill>
                <a:srgbClr val="303134">
                  <a:alpha val="100000"/>
                </a:srgbClr>
              </a:solidFill>
            </a:ln>
          </c:spPr>
          <c:dLbls>
            <c:numFmt formatCode="0.0" sourceLinked="0"/>
            <c:txPr>
              <a:bodyPr/>
              <a:lstStyle/>
              <a:p>
                <a:pPr lvl="0">
                  <a:defRPr>
                    <a:solidFill>
                      <a:srgbClr val="CC4125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'Proportional charts'!$B$1:$L$1</c:f>
            </c:strRef>
          </c:cat>
          <c:val>
            <c:numRef>
              <c:f>'Proportional charts'!$B$4:$L$4</c:f>
              <c:numCache/>
            </c:numRef>
          </c:val>
        </c:ser>
        <c:axId val="1270987681"/>
        <c:axId val="1651816906"/>
      </c:bar3DChart>
      <c:catAx>
        <c:axId val="1270987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800">
                    <a:solidFill>
                      <a:srgbClr val="000000"/>
                    </a:solidFill>
                    <a:latin typeface="Garamond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1" sz="1200">
                <a:solidFill>
                  <a:srgbClr val="000000"/>
                </a:solidFill>
                <a:latin typeface="Garamond"/>
              </a:defRPr>
            </a:pPr>
          </a:p>
        </c:txPr>
        <c:crossAx val="1651816906"/>
      </c:catAx>
      <c:valAx>
        <c:axId val="1651816906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Garamond"/>
                  </a:defRPr>
                </a:pPr>
                <a:r>
                  <a:rPr b="0" sz="1600">
                    <a:solidFill>
                      <a:srgbClr val="000000"/>
                    </a:solidFill>
                    <a:latin typeface="Garamond"/>
                  </a:rPr>
                  <a:t># of Deaths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987681"/>
      </c:valAx>
    </c:plotArea>
    <c:legend>
      <c:legendPos val="t"/>
      <c:overlay val="0"/>
      <c:txPr>
        <a:bodyPr/>
        <a:lstStyle/>
        <a:p>
          <a:pPr lvl="0">
            <a:defRPr b="0" sz="180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Chart6.png"/><Relationship Id="rId3" Type="http://schemas.openxmlformats.org/officeDocument/2006/relationships/image" Target="../media/Chart7.png"/><Relationship Id="rId4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17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</xdr:colOff>
      <xdr:row>17</xdr:row>
      <xdr:rowOff>57150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37</xdr:row>
      <xdr:rowOff>85725</xdr:rowOff>
    </xdr:from>
    <xdr:ext cx="5534025" cy="34099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152400</xdr:colOff>
      <xdr:row>37</xdr:row>
      <xdr:rowOff>123825</xdr:rowOff>
    </xdr:from>
    <xdr:ext cx="5715000" cy="3333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9</xdr:row>
      <xdr:rowOff>19050</xdr:rowOff>
    </xdr:from>
    <xdr:ext cx="11229975" cy="4857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695325</xdr:colOff>
      <xdr:row>34</xdr:row>
      <xdr:rowOff>133350</xdr:rowOff>
    </xdr:from>
    <xdr:ext cx="6715125" cy="4762500"/>
    <xdr:pic>
      <xdr:nvPicPr>
        <xdr:cNvPr id="1857926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704850</xdr:colOff>
      <xdr:row>59</xdr:row>
      <xdr:rowOff>28575</xdr:rowOff>
    </xdr:from>
    <xdr:ext cx="5715000" cy="4133850"/>
    <xdr:pic>
      <xdr:nvPicPr>
        <xdr:cNvPr id="534876768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59</xdr:row>
      <xdr:rowOff>28575</xdr:rowOff>
    </xdr:from>
    <xdr:ext cx="5715000" cy="4133850"/>
    <xdr:pic>
      <xdr:nvPicPr>
        <xdr:cNvPr id="680495222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88"/>
    <col customWidth="1" min="2" max="2" width="11.13"/>
    <col customWidth="1" min="3" max="3" width="11.0"/>
    <col customWidth="1" min="4" max="4" width="13.88"/>
    <col customWidth="1" min="5" max="5" width="12.25"/>
    <col customWidth="1" min="6" max="6" width="10.5"/>
    <col customWidth="1" min="7" max="7" width="10.75"/>
    <col customWidth="1" min="8" max="8" width="10.63"/>
    <col customWidth="1" min="9" max="9" width="9.88"/>
    <col customWidth="1" min="10" max="10" width="10.38"/>
    <col customWidth="1" min="11" max="11" width="10.75"/>
    <col customWidth="1" min="12" max="12" width="24.25"/>
    <col customWidth="1" min="13" max="13" width="16.5"/>
  </cols>
  <sheetData>
    <row r="2">
      <c r="A2" s="1"/>
      <c r="B2" s="1">
        <v>2014.0</v>
      </c>
      <c r="C2" s="1">
        <v>2015.0</v>
      </c>
      <c r="D2" s="1">
        <v>2016.0</v>
      </c>
      <c r="E2" s="1">
        <v>2017.0</v>
      </c>
      <c r="F2" s="1">
        <v>2018.0</v>
      </c>
      <c r="G2" s="1">
        <v>2019.0</v>
      </c>
      <c r="H2" s="1">
        <v>2020.0</v>
      </c>
      <c r="I2" s="1">
        <v>2021.0</v>
      </c>
      <c r="J2" s="1">
        <v>2022.0</v>
      </c>
      <c r="K2" s="1">
        <v>2023.0</v>
      </c>
      <c r="L2" s="1" t="s">
        <v>0</v>
      </c>
      <c r="M2" s="2" t="s">
        <v>1</v>
      </c>
    </row>
    <row r="3">
      <c r="A3" s="3" t="s">
        <v>2</v>
      </c>
      <c r="B3" s="4">
        <v>7.0</v>
      </c>
      <c r="C3" s="5">
        <v>8.0</v>
      </c>
      <c r="D3" s="4">
        <v>10.0</v>
      </c>
      <c r="E3" s="5">
        <v>10.0</v>
      </c>
      <c r="F3" s="4">
        <v>9.0</v>
      </c>
      <c r="G3" s="5">
        <v>12.0</v>
      </c>
      <c r="H3" s="4">
        <v>14.0</v>
      </c>
      <c r="I3" s="5">
        <v>18.0</v>
      </c>
      <c r="J3" s="4">
        <v>12.0</v>
      </c>
      <c r="K3" s="5">
        <v>17.0</v>
      </c>
      <c r="L3" s="6">
        <v>117.0</v>
      </c>
      <c r="M3" s="2">
        <v>11.7</v>
      </c>
    </row>
    <row r="4">
      <c r="A4" s="7" t="s">
        <v>3</v>
      </c>
      <c r="B4" s="8">
        <v>6.0</v>
      </c>
      <c r="C4" s="9">
        <v>14.0</v>
      </c>
      <c r="D4" s="8">
        <v>17.0</v>
      </c>
      <c r="E4" s="9">
        <v>15.0</v>
      </c>
      <c r="F4" s="8">
        <v>16.0</v>
      </c>
      <c r="G4" s="9">
        <v>9.0</v>
      </c>
      <c r="H4" s="8">
        <v>13.0</v>
      </c>
      <c r="I4" s="9">
        <v>14.0</v>
      </c>
      <c r="J4" s="8">
        <v>11.0</v>
      </c>
      <c r="K4" s="9">
        <v>18.0</v>
      </c>
      <c r="L4" s="10">
        <v>133.0</v>
      </c>
      <c r="M4" s="2">
        <v>13.3</v>
      </c>
    </row>
    <row r="5">
      <c r="A5" s="11" t="s">
        <v>4</v>
      </c>
      <c r="B5" s="12">
        <v>729.0</v>
      </c>
      <c r="C5" s="1">
        <v>829.0</v>
      </c>
      <c r="D5" s="12">
        <v>853.0</v>
      </c>
      <c r="E5" s="1">
        <v>806.0</v>
      </c>
      <c r="F5" s="12">
        <v>871.0</v>
      </c>
      <c r="G5" s="1">
        <v>859.0</v>
      </c>
      <c r="H5" s="12">
        <v>948.0</v>
      </c>
      <c r="I5" s="1">
        <v>976.0</v>
      </c>
      <c r="J5" s="12">
        <v>1105.0</v>
      </c>
      <c r="K5" s="13" t="s">
        <v>5</v>
      </c>
      <c r="L5" s="14">
        <v>7976.0</v>
      </c>
      <c r="M5" s="2">
        <v>886.222</v>
      </c>
    </row>
    <row r="6">
      <c r="A6" s="15" t="s">
        <v>6</v>
      </c>
      <c r="B6" s="16">
        <v>14.58</v>
      </c>
      <c r="C6" s="16">
        <v>16.58</v>
      </c>
      <c r="D6" s="16">
        <v>17.0</v>
      </c>
      <c r="E6" s="16">
        <v>16.12</v>
      </c>
      <c r="F6" s="16">
        <v>17.42</v>
      </c>
      <c r="G6" s="16">
        <v>17.18</v>
      </c>
      <c r="H6" s="16">
        <v>18.96</v>
      </c>
      <c r="I6" s="16">
        <v>19.52</v>
      </c>
      <c r="J6" s="16">
        <v>22.1</v>
      </c>
      <c r="M6" s="2">
        <v>17.72</v>
      </c>
    </row>
    <row r="8">
      <c r="A8" s="3" t="s">
        <v>7</v>
      </c>
      <c r="B8" s="17">
        <v>3970239.0</v>
      </c>
      <c r="C8" s="18">
        <v>4028977.0</v>
      </c>
      <c r="D8" s="19">
        <v>4093465.0</v>
      </c>
      <c r="E8" s="18">
        <v>4142776.0</v>
      </c>
      <c r="F8" s="19">
        <v>4190713.0</v>
      </c>
      <c r="G8" s="18">
        <v>3831074.0</v>
      </c>
      <c r="H8" s="19">
        <v>4237256.0</v>
      </c>
      <c r="I8" s="18">
        <v>4246155.0</v>
      </c>
      <c r="J8" s="19">
        <v>4240137.0</v>
      </c>
      <c r="K8" s="18">
        <v>4233358.0</v>
      </c>
      <c r="L8" s="20"/>
    </row>
    <row r="9">
      <c r="A9" s="7" t="s">
        <v>8</v>
      </c>
      <c r="B9" s="21">
        <v>7061530.0</v>
      </c>
      <c r="C9" s="22">
        <v>7170351.0</v>
      </c>
      <c r="D9" s="23">
        <v>7288000.0</v>
      </c>
      <c r="E9" s="22">
        <v>7405743.0</v>
      </c>
      <c r="F9" s="23">
        <v>7535591.0</v>
      </c>
      <c r="G9" s="22">
        <v>6724540.0</v>
      </c>
      <c r="H9" s="23">
        <v>7705281.0</v>
      </c>
      <c r="I9" s="22">
        <v>7738692.0</v>
      </c>
      <c r="J9" s="23">
        <v>7785786.0</v>
      </c>
      <c r="K9" s="22">
        <v>7812880.0</v>
      </c>
      <c r="L9" s="24"/>
    </row>
    <row r="10">
      <c r="A10" s="25" t="s">
        <v>9</v>
      </c>
      <c r="B10" s="26">
        <v>3.18857056E8</v>
      </c>
      <c r="C10" s="27">
        <v>3.21418821E8</v>
      </c>
      <c r="D10" s="26">
        <v>3.23127515E8</v>
      </c>
      <c r="E10" s="13">
        <v>3.25719178E8</v>
      </c>
      <c r="F10" s="26">
        <v>3.27167439E8</v>
      </c>
      <c r="G10" s="13">
        <v>3.08745538E8</v>
      </c>
      <c r="H10" s="26">
        <v>3.26569308E8</v>
      </c>
      <c r="I10" s="27">
        <v>3.31893745E8</v>
      </c>
      <c r="J10" s="28">
        <v>3.33287562E8</v>
      </c>
      <c r="K10" s="27">
        <v>3.34914896E8</v>
      </c>
      <c r="L10" s="29"/>
    </row>
    <row r="11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2"/>
      <c r="L11" s="32"/>
    </row>
    <row r="12">
      <c r="A12" s="33" t="s">
        <v>10</v>
      </c>
      <c r="B12" s="34">
        <v>2014.0</v>
      </c>
      <c r="C12" s="34">
        <v>2015.0</v>
      </c>
      <c r="D12" s="34">
        <v>2016.0</v>
      </c>
      <c r="E12" s="34">
        <v>2017.0</v>
      </c>
      <c r="F12" s="34">
        <v>2018.0</v>
      </c>
      <c r="G12" s="34">
        <v>2019.0</v>
      </c>
      <c r="H12" s="34">
        <v>2020.0</v>
      </c>
      <c r="I12" s="34">
        <v>2021.0</v>
      </c>
      <c r="J12" s="34">
        <v>2022.0</v>
      </c>
      <c r="K12" s="34">
        <v>2023.0</v>
      </c>
      <c r="L12" s="33" t="s">
        <v>11</v>
      </c>
    </row>
    <row r="13">
      <c r="A13" s="9" t="s">
        <v>12</v>
      </c>
      <c r="B13" s="16" t="s">
        <v>13</v>
      </c>
      <c r="C13" s="9" t="s">
        <v>14</v>
      </c>
      <c r="D13" s="22" t="s">
        <v>15</v>
      </c>
      <c r="E13" s="9" t="s">
        <v>16</v>
      </c>
      <c r="F13" s="9" t="s">
        <v>17</v>
      </c>
      <c r="G13" s="9" t="s">
        <v>18</v>
      </c>
      <c r="H13" s="9" t="s">
        <v>19</v>
      </c>
      <c r="I13" s="9" t="s">
        <v>20</v>
      </c>
      <c r="J13" s="9" t="s">
        <v>21</v>
      </c>
      <c r="K13" s="9" t="s">
        <v>22</v>
      </c>
      <c r="L13" s="9" t="s">
        <v>23</v>
      </c>
    </row>
    <row r="14">
      <c r="A14" s="9" t="s">
        <v>24</v>
      </c>
      <c r="B14" s="16" t="s">
        <v>25</v>
      </c>
      <c r="C14" s="9" t="s">
        <v>26</v>
      </c>
      <c r="D14" s="9" t="s">
        <v>27</v>
      </c>
      <c r="E14" s="9" t="s">
        <v>28</v>
      </c>
      <c r="F14" s="9" t="s">
        <v>29</v>
      </c>
      <c r="G14" s="9" t="s">
        <v>30</v>
      </c>
      <c r="H14" s="9" t="s">
        <v>31</v>
      </c>
      <c r="I14" s="9" t="s">
        <v>32</v>
      </c>
      <c r="J14" s="22" t="s">
        <v>33</v>
      </c>
      <c r="K14" s="9" t="s">
        <v>34</v>
      </c>
      <c r="L14" s="9" t="s">
        <v>35</v>
      </c>
    </row>
    <row r="15">
      <c r="A15" s="9" t="s">
        <v>36</v>
      </c>
      <c r="B15" s="16" t="s">
        <v>37</v>
      </c>
      <c r="C15" s="9" t="s">
        <v>38</v>
      </c>
      <c r="D15" s="9" t="s">
        <v>39</v>
      </c>
      <c r="E15" s="9" t="s">
        <v>40</v>
      </c>
      <c r="F15" s="9" t="s">
        <v>41</v>
      </c>
      <c r="G15" s="9" t="s">
        <v>42</v>
      </c>
      <c r="H15" s="9" t="s">
        <v>43</v>
      </c>
      <c r="I15" s="9" t="s">
        <v>44</v>
      </c>
      <c r="J15" s="9" t="s">
        <v>45</v>
      </c>
      <c r="K15" s="9" t="s">
        <v>46</v>
      </c>
      <c r="L15" s="9" t="s">
        <v>47</v>
      </c>
    </row>
  </sheetData>
  <conditionalFormatting sqref="A2:Z2">
    <cfRule type="notContainsBlanks" dxfId="0" priority="1">
      <formula>LEN(TRIM(A2))&gt;0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</cols>
  <sheetData>
    <row r="1">
      <c r="A1" s="35" t="s">
        <v>48</v>
      </c>
      <c r="B1" s="36">
        <v>2014.0</v>
      </c>
      <c r="C1" s="36">
        <v>2015.0</v>
      </c>
      <c r="D1" s="36">
        <v>2016.0</v>
      </c>
      <c r="E1" s="36">
        <v>2017.0</v>
      </c>
      <c r="F1" s="36">
        <v>2018.0</v>
      </c>
      <c r="G1" s="36">
        <v>2019.0</v>
      </c>
      <c r="H1" s="36">
        <v>2020.0</v>
      </c>
      <c r="I1" s="36">
        <v>2021.0</v>
      </c>
      <c r="J1" s="36">
        <v>2022.0</v>
      </c>
      <c r="K1" s="36">
        <v>2023.0</v>
      </c>
      <c r="L1" s="37" t="s">
        <v>49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9" t="s">
        <v>50</v>
      </c>
      <c r="B2" s="40">
        <v>1.763094</v>
      </c>
      <c r="C2" s="41">
        <v>1.9856157</v>
      </c>
      <c r="D2" s="41">
        <v>2.442858</v>
      </c>
      <c r="E2" s="41">
        <v>2.41384038</v>
      </c>
      <c r="F2" s="41">
        <v>2.1476059</v>
      </c>
      <c r="G2" s="41">
        <v>3.1322809</v>
      </c>
      <c r="H2" s="41">
        <v>3.30402505</v>
      </c>
      <c r="I2" s="41">
        <v>4.2391292</v>
      </c>
      <c r="J2" s="41">
        <v>2.83009723</v>
      </c>
      <c r="K2" s="41">
        <v>4.01572463</v>
      </c>
      <c r="L2" s="41">
        <v>2.62381108</v>
      </c>
    </row>
    <row r="3">
      <c r="A3" s="39" t="s">
        <v>51</v>
      </c>
      <c r="B3" s="42">
        <v>0.849674</v>
      </c>
      <c r="C3" s="41">
        <v>1.95248461</v>
      </c>
      <c r="D3" s="41">
        <v>2.332601536</v>
      </c>
      <c r="E3" s="41">
        <v>2.0254551</v>
      </c>
      <c r="F3" s="41">
        <v>2.123257</v>
      </c>
      <c r="G3" s="41">
        <v>1.3383815</v>
      </c>
      <c r="H3" s="41">
        <v>1.68715456</v>
      </c>
      <c r="I3" s="41">
        <v>1.80909125</v>
      </c>
      <c r="J3" s="41">
        <v>1.412831023</v>
      </c>
      <c r="K3" s="41">
        <v>2.303887938</v>
      </c>
      <c r="L3" s="39">
        <v>1.783482</v>
      </c>
    </row>
    <row r="4">
      <c r="A4" s="39" t="s">
        <v>52</v>
      </c>
      <c r="B4" s="40">
        <v>2.2862909</v>
      </c>
      <c r="C4" s="41">
        <v>2.5791893499</v>
      </c>
      <c r="D4" s="41">
        <v>2.6398247144</v>
      </c>
      <c r="E4" s="41">
        <v>2.47452423</v>
      </c>
      <c r="F4" s="41">
        <v>2.662245537</v>
      </c>
      <c r="G4" s="41">
        <v>2.782226443</v>
      </c>
      <c r="H4" s="41">
        <v>2.90290598</v>
      </c>
      <c r="I4" s="41">
        <v>2.94070019</v>
      </c>
      <c r="J4" s="41">
        <v>3.315455258</v>
      </c>
      <c r="K4" s="43"/>
      <c r="L4" s="39">
        <v>2.731485</v>
      </c>
    </row>
  </sheetData>
  <drawing r:id="rId1"/>
</worksheet>
</file>